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D7BF762-90C9-40B8-ACE5-40D6416D2DA0}" xr6:coauthVersionLast="40" xr6:coauthVersionMax="40" xr10:uidLastSave="{00000000-0000-0000-0000-000000000000}"/>
  <bookViews>
    <workbookView xWindow="0" yWindow="0" windowWidth="19180" windowHeight="6890" xr2:uid="{1BFF02D9-A2E6-49A9-9921-015BFF8449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6" i="1" l="1"/>
  <c r="D37" i="1"/>
  <c r="D31" i="1"/>
  <c r="D32" i="1"/>
  <c r="D33" i="1"/>
  <c r="D34" i="1"/>
  <c r="D35" i="1"/>
  <c r="D30" i="1"/>
  <c r="D29" i="1"/>
  <c r="D28" i="1"/>
  <c r="E22" i="1"/>
  <c r="E23" i="1"/>
  <c r="E21" i="1"/>
</calcChain>
</file>

<file path=xl/sharedStrings.xml><?xml version="1.0" encoding="utf-8"?>
<sst xmlns="http://schemas.openxmlformats.org/spreadsheetml/2006/main" count="306" uniqueCount="61">
  <si>
    <t>CAR RENTAL MANAGEMENT SYSTEM</t>
  </si>
  <si>
    <t>Car ID</t>
  </si>
  <si>
    <t>Car Name</t>
  </si>
  <si>
    <t>Category</t>
  </si>
  <si>
    <t>Price Per Day (PKR)</t>
  </si>
  <si>
    <t>Transmission</t>
  </si>
  <si>
    <t>Fuel Type</t>
  </si>
  <si>
    <t>Seats</t>
  </si>
  <si>
    <t>Availability</t>
  </si>
  <si>
    <t>C01</t>
  </si>
  <si>
    <t>Toyota Corolla</t>
  </si>
  <si>
    <t>Sedan</t>
  </si>
  <si>
    <t>Automatic</t>
  </si>
  <si>
    <t>Petrol</t>
  </si>
  <si>
    <t>Yes</t>
  </si>
  <si>
    <t>C02</t>
  </si>
  <si>
    <t>Toyota Yaris</t>
  </si>
  <si>
    <t>C03</t>
  </si>
  <si>
    <t>Honda City</t>
  </si>
  <si>
    <t>C04</t>
  </si>
  <si>
    <t>Hyundai Elantra</t>
  </si>
  <si>
    <t>C05</t>
  </si>
  <si>
    <t>Hyundai Sonata</t>
  </si>
  <si>
    <t>Luxury Sedan</t>
  </si>
  <si>
    <t>C06</t>
  </si>
  <si>
    <t>Toyota Fortuner</t>
  </si>
  <si>
    <t>SUV</t>
  </si>
  <si>
    <t>Diesel</t>
  </si>
  <si>
    <t>C07</t>
  </si>
  <si>
    <t>Suzuki Cultus</t>
  </si>
  <si>
    <t>Hatchback</t>
  </si>
  <si>
    <t>Manual</t>
  </si>
  <si>
    <t>C08</t>
  </si>
  <si>
    <t>Suzuki Wagon R</t>
  </si>
  <si>
    <t>C09</t>
  </si>
  <si>
    <t>Honda Civic</t>
  </si>
  <si>
    <t>C10</t>
  </si>
  <si>
    <t>Toyota Prado</t>
  </si>
  <si>
    <t>C11</t>
  </si>
  <si>
    <t>KIA Sportage</t>
  </si>
  <si>
    <t>C12</t>
  </si>
  <si>
    <t>Toyota Hiace</t>
  </si>
  <si>
    <t>Van</t>
  </si>
  <si>
    <t>Price Per Day</t>
  </si>
  <si>
    <t>No. of Days</t>
  </si>
  <si>
    <t>Total Rent</t>
  </si>
  <si>
    <t>RENTAL COST</t>
  </si>
  <si>
    <t>Metric</t>
  </si>
  <si>
    <t>Formula</t>
  </si>
  <si>
    <t>Total Cars</t>
  </si>
  <si>
    <t>Average Price Per Day</t>
  </si>
  <si>
    <t>Highest Price</t>
  </si>
  <si>
    <t>Lowest Price</t>
  </si>
  <si>
    <t>Total Sedans</t>
  </si>
  <si>
    <t>Total SUVs</t>
  </si>
  <si>
    <t>Total Hatchbacks</t>
  </si>
  <si>
    <t>Total Vans</t>
  </si>
  <si>
    <t>Premium Cars</t>
  </si>
  <si>
    <t>Standard Cars</t>
  </si>
  <si>
    <t>SUMMARY</t>
  </si>
  <si>
    <t>Rented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</si>
</sst>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1" tint="4.9989318521683403E-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13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0" fillId="2" borderId="15" xfId="0" applyFont="1" applyFill="1" applyBorder="1" applyAlignment="1">
      <alignment horizontal="center"/>
    </xf>
    <xf numFmtId="0" fontId="0" fillId="2" borderId="16" xfId="0" applyFont="1" applyFill="1" applyBorder="1" applyAlignment="1">
      <alignment horizontal="center"/>
    </xf>
    <xf numFmtId="0" fontId="0" fillId="2" borderId="18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0" fillId="4" borderId="1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Sheet1!$D$25:$D$27</c:f>
              <c:strCache>
                <c:ptCount val="3"/>
                <c:pt idx="0">
                  <c:v>SUMMARY</c:v>
                </c:pt>
                <c:pt idx="2">
                  <c:v>Formula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Sheet1!$C$28:$C$37</c:f>
              <c:strCache>
                <c:ptCount val="10"/>
                <c:pt idx="0">
                  <c:v>Total Cars</c:v>
                </c:pt>
                <c:pt idx="1">
                  <c:v>Average Price Per Day</c:v>
                </c:pt>
                <c:pt idx="2">
                  <c:v>Highest Price</c:v>
                </c:pt>
                <c:pt idx="3">
                  <c:v>Lowest Price</c:v>
                </c:pt>
                <c:pt idx="4">
                  <c:v>Total Sedans</c:v>
                </c:pt>
                <c:pt idx="5">
                  <c:v>Total SUVs</c:v>
                </c:pt>
                <c:pt idx="6">
                  <c:v>Total Hatchbacks</c:v>
                </c:pt>
                <c:pt idx="7">
                  <c:v>Total Vans</c:v>
                </c:pt>
                <c:pt idx="8">
                  <c:v>Premium Cars</c:v>
                </c:pt>
                <c:pt idx="9">
                  <c:v>Standard Cars</c:v>
                </c:pt>
              </c:strCache>
            </c:strRef>
          </c:cat>
          <c:val>
            <c:numRef>
              <c:f>Sheet1!$D$28:$D$37</c:f>
              <c:numCache>
                <c:formatCode>General</c:formatCode>
                <c:ptCount val="10"/>
                <c:pt idx="0">
                  <c:v>12</c:v>
                </c:pt>
                <c:pt idx="1">
                  <c:v>14281</c:v>
                </c:pt>
                <c:pt idx="2">
                  <c:v>32000</c:v>
                </c:pt>
                <c:pt idx="3">
                  <c:v>6600</c:v>
                </c:pt>
                <c:pt idx="4">
                  <c:v>5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4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82-4AB9-AC7B-567E64024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90673312"/>
        <c:axId val="906933440"/>
      </c:barChart>
      <c:catAx>
        <c:axId val="89067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933440"/>
        <c:crosses val="autoZero"/>
        <c:auto val="1"/>
        <c:lblAlgn val="ctr"/>
        <c:lblOffset val="100"/>
        <c:noMultiLvlLbl val="0"/>
      </c:catAx>
      <c:valAx>
        <c:axId val="90693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673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Sheet1!$D$25:$D$27</c:f>
              <c:strCache>
                <c:ptCount val="3"/>
                <c:pt idx="0">
                  <c:v>SUMMARY</c:v>
                </c:pt>
                <c:pt idx="2">
                  <c:v>Formula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Sheet1!$C$28:$C$37</c:f>
              <c:strCache>
                <c:ptCount val="10"/>
                <c:pt idx="0">
                  <c:v>Total Cars</c:v>
                </c:pt>
                <c:pt idx="1">
                  <c:v>Average Price Per Day</c:v>
                </c:pt>
                <c:pt idx="2">
                  <c:v>Highest Price</c:v>
                </c:pt>
                <c:pt idx="3">
                  <c:v>Lowest Price</c:v>
                </c:pt>
                <c:pt idx="4">
                  <c:v>Total Sedans</c:v>
                </c:pt>
                <c:pt idx="5">
                  <c:v>Total SUVs</c:v>
                </c:pt>
                <c:pt idx="6">
                  <c:v>Total Hatchbacks</c:v>
                </c:pt>
                <c:pt idx="7">
                  <c:v>Total Vans</c:v>
                </c:pt>
                <c:pt idx="8">
                  <c:v>Premium Cars</c:v>
                </c:pt>
                <c:pt idx="9">
                  <c:v>Standard Cars</c:v>
                </c:pt>
              </c:strCache>
            </c:strRef>
          </c:cat>
          <c:val>
            <c:numRef>
              <c:f>Sheet1!$D$28:$D$37</c:f>
              <c:numCache>
                <c:formatCode>General</c:formatCode>
                <c:ptCount val="10"/>
                <c:pt idx="0">
                  <c:v>12</c:v>
                </c:pt>
                <c:pt idx="1">
                  <c:v>14281</c:v>
                </c:pt>
                <c:pt idx="2">
                  <c:v>32000</c:v>
                </c:pt>
                <c:pt idx="3">
                  <c:v>6600</c:v>
                </c:pt>
                <c:pt idx="4">
                  <c:v>5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4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02-4C2C-8C26-76A29EE6852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16282</xdr:colOff>
      <xdr:row>38</xdr:row>
      <xdr:rowOff>162821</xdr:rowOff>
    </xdr:from>
    <xdr:to>
      <xdr:col>14</xdr:col>
      <xdr:colOff>8141</xdr:colOff>
      <xdr:row>56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0BCAFB-F2C6-4D63-92B6-79677F2E6E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819800</xdr:colOff>
      <xdr:row>38</xdr:row>
      <xdr:rowOff>183336</xdr:rowOff>
    </xdr:from>
    <xdr:to>
      <xdr:col>4</xdr:col>
      <xdr:colOff>8140</xdr:colOff>
      <xdr:row>55</xdr:row>
      <xdr:rowOff>179102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B8B831-EFB1-4B0E-925D-0BE28C667E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B2334-4023-4761-9BD4-99387BF99831}">
  <dimension ref="A1:H37"/>
  <sheetViews>
    <sheetView tabSelected="1" topLeftCell="A33" zoomScale="78" workbookViewId="0">
      <selection activeCell="G28" sqref="G28"/>
    </sheetView>
  </sheetViews>
  <sheetFormatPr defaultRowHeight="14.5" x14ac:dyDescent="0.35"/>
  <cols>
    <col min="1" max="1" width="11.90625" customWidth="1"/>
    <col min="2" max="2" width="23.7265625" customWidth="1"/>
    <col min="3" max="3" width="38.26953125" customWidth="1"/>
    <col min="4" max="4" width="26" customWidth="1"/>
    <col min="5" max="5" width="17.36328125" customWidth="1"/>
    <col min="6" max="6" width="12.90625" customWidth="1"/>
    <col min="7" max="7" width="11.36328125" customWidth="1"/>
    <col min="8" max="8" width="15" customWidth="1"/>
  </cols>
  <sheetData>
    <row r="1" spans="1:8" x14ac:dyDescent="0.35">
      <c r="A1" s="1" t="s">
        <v>0</v>
      </c>
      <c r="B1" s="2"/>
      <c r="C1" s="2"/>
      <c r="D1" s="2"/>
      <c r="E1" s="2"/>
      <c r="F1" s="2"/>
      <c r="G1" s="2"/>
      <c r="H1" s="3"/>
    </row>
    <row r="2" spans="1:8" ht="15" thickBot="1" x14ac:dyDescent="0.4">
      <c r="A2" s="4"/>
      <c r="B2" s="5"/>
      <c r="C2" s="5"/>
      <c r="D2" s="5"/>
      <c r="E2" s="5"/>
      <c r="F2" s="5"/>
      <c r="G2" s="5"/>
      <c r="H2" s="6"/>
    </row>
    <row r="3" spans="1:8" ht="15" thickBot="1" x14ac:dyDescent="0.4">
      <c r="A3" s="20" t="s">
        <v>1</v>
      </c>
      <c r="B3" s="21" t="s">
        <v>2</v>
      </c>
      <c r="C3" s="21" t="s">
        <v>3</v>
      </c>
      <c r="D3" s="21" t="s">
        <v>4</v>
      </c>
      <c r="E3" s="21" t="s">
        <v>5</v>
      </c>
      <c r="F3" s="21" t="s">
        <v>6</v>
      </c>
      <c r="G3" s="21" t="s">
        <v>7</v>
      </c>
      <c r="H3" s="16" t="s">
        <v>8</v>
      </c>
    </row>
    <row r="4" spans="1:8" x14ac:dyDescent="0.35">
      <c r="A4" s="22" t="s">
        <v>9</v>
      </c>
      <c r="B4" s="23" t="s">
        <v>10</v>
      </c>
      <c r="C4" s="23" t="s">
        <v>11</v>
      </c>
      <c r="D4" s="23">
        <v>10000</v>
      </c>
      <c r="E4" s="23" t="s">
        <v>12</v>
      </c>
      <c r="F4" s="23" t="s">
        <v>13</v>
      </c>
      <c r="G4" s="23">
        <v>5</v>
      </c>
      <c r="H4" s="17" t="s">
        <v>60</v>
      </c>
    </row>
    <row r="5" spans="1:8" x14ac:dyDescent="0.35">
      <c r="A5" s="24" t="s">
        <v>15</v>
      </c>
      <c r="B5" s="25" t="s">
        <v>16</v>
      </c>
      <c r="C5" s="25" t="s">
        <v>11</v>
      </c>
      <c r="D5" s="25">
        <v>11000</v>
      </c>
      <c r="E5" s="25" t="s">
        <v>12</v>
      </c>
      <c r="F5" s="25" t="s">
        <v>13</v>
      </c>
      <c r="G5" s="25">
        <v>5</v>
      </c>
      <c r="H5" s="18" t="s">
        <v>14</v>
      </c>
    </row>
    <row r="6" spans="1:8" x14ac:dyDescent="0.35">
      <c r="A6" s="24" t="s">
        <v>17</v>
      </c>
      <c r="B6" s="25" t="s">
        <v>18</v>
      </c>
      <c r="C6" s="25" t="s">
        <v>11</v>
      </c>
      <c r="D6" s="25">
        <v>12000</v>
      </c>
      <c r="E6" s="25" t="s">
        <v>12</v>
      </c>
      <c r="F6" s="25" t="s">
        <v>13</v>
      </c>
      <c r="G6" s="25">
        <v>5</v>
      </c>
      <c r="H6" s="18" t="s">
        <v>14</v>
      </c>
    </row>
    <row r="7" spans="1:8" x14ac:dyDescent="0.35">
      <c r="A7" s="24" t="s">
        <v>19</v>
      </c>
      <c r="B7" s="25" t="s">
        <v>20</v>
      </c>
      <c r="C7" s="25" t="s">
        <v>11</v>
      </c>
      <c r="D7" s="25">
        <v>10000</v>
      </c>
      <c r="E7" s="25" t="s">
        <v>12</v>
      </c>
      <c r="F7" s="25" t="s">
        <v>13</v>
      </c>
      <c r="G7" s="25">
        <v>5</v>
      </c>
      <c r="H7" s="18" t="s">
        <v>14</v>
      </c>
    </row>
    <row r="8" spans="1:8" x14ac:dyDescent="0.35">
      <c r="A8" s="24" t="s">
        <v>21</v>
      </c>
      <c r="B8" s="25" t="s">
        <v>22</v>
      </c>
      <c r="C8" s="25" t="s">
        <v>23</v>
      </c>
      <c r="D8" s="25">
        <v>14000</v>
      </c>
      <c r="E8" s="25" t="s">
        <v>12</v>
      </c>
      <c r="F8" s="25" t="s">
        <v>13</v>
      </c>
      <c r="G8" s="25">
        <v>5</v>
      </c>
      <c r="H8" s="18" t="s">
        <v>14</v>
      </c>
    </row>
    <row r="9" spans="1:8" x14ac:dyDescent="0.35">
      <c r="A9" s="24" t="s">
        <v>24</v>
      </c>
      <c r="B9" s="25" t="s">
        <v>25</v>
      </c>
      <c r="C9" s="25" t="s">
        <v>26</v>
      </c>
      <c r="D9" s="25">
        <v>22000</v>
      </c>
      <c r="E9" s="25" t="s">
        <v>12</v>
      </c>
      <c r="F9" s="25" t="s">
        <v>27</v>
      </c>
      <c r="G9" s="25">
        <v>7</v>
      </c>
      <c r="H9" s="18" t="s">
        <v>14</v>
      </c>
    </row>
    <row r="10" spans="1:8" x14ac:dyDescent="0.35">
      <c r="A10" s="24" t="s">
        <v>28</v>
      </c>
      <c r="B10" s="25" t="s">
        <v>29</v>
      </c>
      <c r="C10" s="25" t="s">
        <v>30</v>
      </c>
      <c r="D10" s="25">
        <v>12000</v>
      </c>
      <c r="E10" s="25" t="s">
        <v>31</v>
      </c>
      <c r="F10" s="25" t="s">
        <v>13</v>
      </c>
      <c r="G10" s="25">
        <v>5</v>
      </c>
      <c r="H10" s="18" t="s">
        <v>14</v>
      </c>
    </row>
    <row r="11" spans="1:8" x14ac:dyDescent="0.35">
      <c r="A11" s="24" t="s">
        <v>32</v>
      </c>
      <c r="B11" s="25" t="s">
        <v>33</v>
      </c>
      <c r="C11" s="25" t="s">
        <v>30</v>
      </c>
      <c r="D11" s="25">
        <v>6600</v>
      </c>
      <c r="E11" s="25" t="s">
        <v>31</v>
      </c>
      <c r="F11" s="25" t="s">
        <v>13</v>
      </c>
      <c r="G11" s="25">
        <v>5</v>
      </c>
      <c r="H11" s="18" t="s">
        <v>14</v>
      </c>
    </row>
    <row r="12" spans="1:8" x14ac:dyDescent="0.35">
      <c r="A12" s="24" t="s">
        <v>34</v>
      </c>
      <c r="B12" s="25" t="s">
        <v>35</v>
      </c>
      <c r="C12" s="25" t="s">
        <v>11</v>
      </c>
      <c r="D12" s="25">
        <v>14000</v>
      </c>
      <c r="E12" s="25" t="s">
        <v>12</v>
      </c>
      <c r="F12" s="25" t="s">
        <v>13</v>
      </c>
      <c r="G12" s="25">
        <v>5</v>
      </c>
      <c r="H12" s="18" t="s">
        <v>60</v>
      </c>
    </row>
    <row r="13" spans="1:8" x14ac:dyDescent="0.35">
      <c r="A13" s="24" t="s">
        <v>36</v>
      </c>
      <c r="B13" s="25" t="s">
        <v>37</v>
      </c>
      <c r="C13" s="25" t="s">
        <v>26</v>
      </c>
      <c r="D13" s="25">
        <v>24000</v>
      </c>
      <c r="E13" s="25" t="s">
        <v>12</v>
      </c>
      <c r="F13" s="25" t="s">
        <v>27</v>
      </c>
      <c r="G13" s="25">
        <v>7</v>
      </c>
      <c r="H13" s="18" t="s">
        <v>60</v>
      </c>
    </row>
    <row r="14" spans="1:8" x14ac:dyDescent="0.35">
      <c r="A14" s="24" t="s">
        <v>38</v>
      </c>
      <c r="B14" s="25" t="s">
        <v>39</v>
      </c>
      <c r="C14" s="25" t="s">
        <v>26</v>
      </c>
      <c r="D14" s="25">
        <v>21500</v>
      </c>
      <c r="E14" s="25" t="s">
        <v>12</v>
      </c>
      <c r="F14" s="25" t="s">
        <v>13</v>
      </c>
      <c r="G14" s="25">
        <v>5</v>
      </c>
      <c r="H14" s="18" t="s">
        <v>14</v>
      </c>
    </row>
    <row r="15" spans="1:8" ht="15" thickBot="1" x14ac:dyDescent="0.4">
      <c r="A15" s="26" t="s">
        <v>40</v>
      </c>
      <c r="B15" s="27" t="s">
        <v>41</v>
      </c>
      <c r="C15" s="27" t="s">
        <v>42</v>
      </c>
      <c r="D15" s="27">
        <v>32000</v>
      </c>
      <c r="E15" s="27" t="s">
        <v>31</v>
      </c>
      <c r="F15" s="27" t="s">
        <v>27</v>
      </c>
      <c r="G15" s="27">
        <v>15</v>
      </c>
      <c r="H15" s="19" t="s">
        <v>14</v>
      </c>
    </row>
    <row r="17" spans="2:5" ht="15" thickBot="1" x14ac:dyDescent="0.4"/>
    <row r="18" spans="2:5" x14ac:dyDescent="0.35">
      <c r="B18" s="12" t="s">
        <v>46</v>
      </c>
      <c r="C18" s="7"/>
      <c r="D18" s="7"/>
      <c r="E18" s="8"/>
    </row>
    <row r="19" spans="2:5" ht="15" thickBot="1" x14ac:dyDescent="0.4">
      <c r="B19" s="9"/>
      <c r="C19" s="10"/>
      <c r="D19" s="10"/>
      <c r="E19" s="11"/>
    </row>
    <row r="20" spans="2:5" ht="15" thickBot="1" x14ac:dyDescent="0.4">
      <c r="B20" s="28" t="s">
        <v>2</v>
      </c>
      <c r="C20" s="29" t="s">
        <v>43</v>
      </c>
      <c r="D20" s="29" t="s">
        <v>44</v>
      </c>
      <c r="E20" s="30" t="s">
        <v>45</v>
      </c>
    </row>
    <row r="21" spans="2:5" x14ac:dyDescent="0.35">
      <c r="B21" s="22" t="s">
        <v>10</v>
      </c>
      <c r="C21" s="23">
        <v>10000</v>
      </c>
      <c r="D21" s="23">
        <v>3</v>
      </c>
      <c r="E21" s="17">
        <f>D4*D21</f>
        <v>30000</v>
      </c>
    </row>
    <row r="22" spans="2:5" x14ac:dyDescent="0.35">
      <c r="B22" s="24" t="s">
        <v>35</v>
      </c>
      <c r="C22" s="25">
        <v>14000</v>
      </c>
      <c r="D22" s="25">
        <v>5</v>
      </c>
      <c r="E22" s="17">
        <f t="shared" ref="E22:E23" si="0">D5*D22</f>
        <v>55000</v>
      </c>
    </row>
    <row r="23" spans="2:5" ht="15" thickBot="1" x14ac:dyDescent="0.4">
      <c r="B23" s="26" t="s">
        <v>37</v>
      </c>
      <c r="C23" s="27">
        <v>24000</v>
      </c>
      <c r="D23" s="27">
        <v>2</v>
      </c>
      <c r="E23" s="33">
        <f t="shared" si="0"/>
        <v>24000</v>
      </c>
    </row>
    <row r="24" spans="2:5" ht="15" thickBot="1" x14ac:dyDescent="0.4"/>
    <row r="25" spans="2:5" x14ac:dyDescent="0.35">
      <c r="C25" s="1" t="s">
        <v>59</v>
      </c>
      <c r="D25" s="13"/>
    </row>
    <row r="26" spans="2:5" ht="15" thickBot="1" x14ac:dyDescent="0.4">
      <c r="C26" s="14"/>
      <c r="D26" s="15"/>
    </row>
    <row r="27" spans="2:5" ht="15" thickBot="1" x14ac:dyDescent="0.4">
      <c r="C27" s="31" t="s">
        <v>47</v>
      </c>
      <c r="D27" s="32" t="s">
        <v>48</v>
      </c>
    </row>
    <row r="28" spans="2:5" x14ac:dyDescent="0.35">
      <c r="C28" s="22" t="s">
        <v>49</v>
      </c>
      <c r="D28" s="17">
        <f>COUNTA(A3:A14)</f>
        <v>12</v>
      </c>
    </row>
    <row r="29" spans="2:5" x14ac:dyDescent="0.35">
      <c r="C29" s="24" t="s">
        <v>50</v>
      </c>
      <c r="D29" s="18">
        <f>INT(AVERAGE(D3:D14))</f>
        <v>14281</v>
      </c>
    </row>
    <row r="30" spans="2:5" x14ac:dyDescent="0.35">
      <c r="C30" s="24" t="s">
        <v>51</v>
      </c>
      <c r="D30" s="18">
        <f>MAX(D3:D15)</f>
        <v>32000</v>
      </c>
    </row>
    <row r="31" spans="2:5" x14ac:dyDescent="0.35">
      <c r="C31" s="24" t="s">
        <v>52</v>
      </c>
      <c r="D31" s="18">
        <f>MIN(D3:D15)</f>
        <v>6600</v>
      </c>
    </row>
    <row r="32" spans="2:5" x14ac:dyDescent="0.35">
      <c r="C32" s="24" t="s">
        <v>53</v>
      </c>
      <c r="D32" s="18">
        <f>COUNTIF(C3:C15,"Sedan")</f>
        <v>5</v>
      </c>
    </row>
    <row r="33" spans="3:4" x14ac:dyDescent="0.35">
      <c r="C33" s="24" t="s">
        <v>54</v>
      </c>
      <c r="D33" s="18">
        <f>COUNTIF(C3:C15,"SUV")</f>
        <v>3</v>
      </c>
    </row>
    <row r="34" spans="3:4" x14ac:dyDescent="0.35">
      <c r="C34" s="24" t="s">
        <v>55</v>
      </c>
      <c r="D34" s="18">
        <f>COUNTIF(C3:C15,"Hatchback")</f>
        <v>2</v>
      </c>
    </row>
    <row r="35" spans="3:4" x14ac:dyDescent="0.35">
      <c r="C35" s="24" t="s">
        <v>56</v>
      </c>
      <c r="D35" s="18">
        <f>COUNTIF(C3:C15,"Van")</f>
        <v>1</v>
      </c>
    </row>
    <row r="36" spans="3:4" x14ac:dyDescent="0.35">
      <c r="C36" s="24" t="s">
        <v>57</v>
      </c>
      <c r="D36" s="18">
        <f>COUNTIF(D3:D15,"&gt;15000")</f>
        <v>4</v>
      </c>
    </row>
    <row r="37" spans="3:4" ht="15" thickBot="1" x14ac:dyDescent="0.4">
      <c r="C37" s="26" t="s">
        <v>58</v>
      </c>
      <c r="D37" s="19">
        <f>COUNTIF(D3:D15,"&lt;=15000")</f>
        <v>8</v>
      </c>
    </row>
  </sheetData>
  <mergeCells count="3">
    <mergeCell ref="A1:H2"/>
    <mergeCell ref="B18:E19"/>
    <mergeCell ref="C25:D2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2026-01-04T07:49:07Z</dcterms:created>
  <dcterms:modified xsi:type="dcterms:W3CDTF">2026-01-04T08:25:23Z</dcterms:modified>
</cp:coreProperties>
</file>